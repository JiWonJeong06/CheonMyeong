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증강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<sst xmlns="http://schemas.openxmlformats.org/spreadsheetml/2006/main" count="317" uniqueCount="148">
  <si>
    <t xml:space="preserve">Code</t>
  </si>
  <si>
    <t xml:space="preserve">Name</t>
  </si>
  <si>
    <t xml:space="preserve">Weapon</t>
  </si>
  <si>
    <t xml:space="preserve">Hp</t>
  </si>
  <si>
    <t xml:space="preserve">Speed</t>
  </si>
  <si>
    <t xml:space="preserve">Healing</t>
  </si>
  <si>
    <t xml:space="preserve">Defend</t>
  </si>
  <si>
    <t xml:space="preserve">Damage</t>
  </si>
  <si>
    <t xml:space="preserve">BulletSpeed</t>
  </si>
  <si>
    <t xml:space="preserve">AtkSpeed</t>
  </si>
  <si>
    <t xml:space="preserve">Range</t>
  </si>
  <si>
    <t xml:space="preserve">Cooldown</t>
  </si>
  <si>
    <t xml:space="preserve">Amount</t>
  </si>
  <si>
    <t xml:space="preserve">Magnet</t>
  </si>
  <si>
    <t xml:space="preserve">Luck</t>
  </si>
  <si>
    <t xml:space="preserve">Growth</t>
  </si>
  <si>
    <t xml:space="preserve">Curse</t>
  </si>
  <si>
    <t xml:space="preserve">Reroll</t>
  </si>
  <si>
    <t xml:space="preserve">Specificity</t>
  </si>
  <si>
    <t xml:space="preserve">CritRate</t>
  </si>
  <si>
    <t xml:space="preserve">CritDmg</t>
  </si>
  <si>
    <t xml:space="preserve">하영</t>
  </si>
  <si>
    <t xml:space="preserve">사인검</t>
  </si>
  <si>
    <t xml:space="preserve">한주원</t>
  </si>
  <si>
    <t xml:space="preserve">부적</t>
  </si>
  <si>
    <t xml:space="preserve">박규혁</t>
  </si>
  <si>
    <t xml:space="preserve">삼지창</t>
  </si>
  <si>
    <t xml:space="preserve">이아라</t>
  </si>
  <si>
    <t xml:space="preserve">신칼</t>
  </si>
  <si>
    <t xml:space="preserve">최환조</t>
  </si>
  <si>
    <t xml:space="preserve">활</t>
  </si>
  <si>
    <t xml:space="preserve">신지현</t>
  </si>
  <si>
    <t xml:space="preserve">곡도</t>
  </si>
  <si>
    <t xml:space="preserve">임훈</t>
  </si>
  <si>
    <t xml:space="preserve">창</t>
  </si>
  <si>
    <t xml:space="preserve">심여레</t>
  </si>
  <si>
    <t xml:space="preserve">부채</t>
  </si>
  <si>
    <t xml:space="preserve">규칙</t>
  </si>
  <si>
    <r>
      <rPr>
        <sz val="10"/>
        <rFont val="Noto Sans CJK SC"/>
        <family val="2"/>
      </rPr>
      <t xml:space="preserve">증강 슬롯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최대 개수</t>
    </r>
    <r>
      <rPr>
        <sz val="10"/>
        <rFont val="맑은 고딕"/>
        <family val="0"/>
        <charset val="1"/>
      </rPr>
      <t xml:space="preserve">)</t>
    </r>
  </si>
  <si>
    <t xml:space="preserve">증강 최대 단계</t>
  </si>
  <si>
    <t xml:space="preserve">캐릭터 시작 레벨</t>
  </si>
  <si>
    <t xml:space="preserve">캐릭터 최대 레벨</t>
  </si>
  <si>
    <t xml:space="preserve">모든 증강을 끝까지 올리는 데 필요한 선택 수</t>
  </si>
  <si>
    <t xml:space="preserve">시작 레벨에서 최대 레벨까지 레벨업 횟수</t>
  </si>
  <si>
    <r>
      <rPr>
        <sz val="10"/>
        <rFont val="Noto Sans CJK SC"/>
        <family val="2"/>
      </rPr>
      <t xml:space="preserve">차이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 수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레벨업 횟수</t>
    </r>
    <r>
      <rPr>
        <sz val="10"/>
        <rFont val="맑은 고딕"/>
        <family val="0"/>
        <charset val="1"/>
      </rPr>
      <t xml:space="preserve">, 0</t>
    </r>
    <r>
      <rPr>
        <sz val="10"/>
        <rFont val="Noto Sans CJK SC"/>
        <family val="2"/>
      </rPr>
      <t xml:space="preserve">이면 딱 맞음</t>
    </r>
    <r>
      <rPr>
        <sz val="10"/>
        <rFont val="맑은 고딕"/>
        <family val="0"/>
        <charset val="1"/>
      </rPr>
      <t xml:space="preserve">)</t>
    </r>
  </si>
  <si>
    <t xml:space="preserve">Category</t>
  </si>
  <si>
    <t xml:space="preserve">Persist</t>
  </si>
  <si>
    <t xml:space="preserve">Target</t>
  </si>
  <si>
    <t xml:space="preserve">TargetName</t>
  </si>
  <si>
    <t xml:space="preserve">Stat</t>
  </si>
  <si>
    <t xml:space="preserve">Op</t>
  </si>
  <si>
    <t xml:space="preserve">Unit</t>
  </si>
  <si>
    <t xml:space="preserve">Lv1</t>
  </si>
  <si>
    <t xml:space="preserve">Lv2</t>
  </si>
  <si>
    <t xml:space="preserve">Lv3</t>
  </si>
  <si>
    <t xml:space="preserve">Lv4</t>
  </si>
  <si>
    <t xml:space="preserve">Lv5</t>
  </si>
  <si>
    <t xml:space="preserve">Desc</t>
  </si>
  <si>
    <t xml:space="preserve">최대 체력</t>
  </si>
  <si>
    <t xml:space="preserve">공통</t>
  </si>
  <si>
    <t xml:space="preserve">영구</t>
  </si>
  <si>
    <t xml:space="preserve">전체</t>
  </si>
  <si>
    <t xml:space="preserve">Mul</t>
  </si>
  <si>
    <t xml:space="preserve">%</t>
  </si>
  <si>
    <t xml:space="preserve">최대 체력 증가</t>
  </si>
  <si>
    <t xml:space="preserve">이동 속도</t>
  </si>
  <si>
    <t xml:space="preserve">이동 속도 증가</t>
  </si>
  <si>
    <t xml:space="preserve">체력 재생</t>
  </si>
  <si>
    <t xml:space="preserve">Add</t>
  </si>
  <si>
    <r>
      <rPr>
        <sz val="10"/>
        <rFont val="맑은 고딕"/>
        <family val="0"/>
        <charset val="1"/>
      </rPr>
      <t xml:space="preserve">HP/</t>
    </r>
    <r>
      <rPr>
        <sz val="10"/>
        <rFont val="Noto Sans CJK SC"/>
        <family val="2"/>
      </rPr>
      <t xml:space="preserve">초</t>
    </r>
  </si>
  <si>
    <t xml:space="preserve">초당 체력 회복</t>
  </si>
  <si>
    <t xml:space="preserve">방어</t>
  </si>
  <si>
    <t xml:space="preserve">피해</t>
  </si>
  <si>
    <t xml:space="preserve">받는 피해를 고정값만큼 감소</t>
  </si>
  <si>
    <t xml:space="preserve">공격력</t>
  </si>
  <si>
    <t xml:space="preserve">기본 공격 피해 증가</t>
  </si>
  <si>
    <t xml:space="preserve">투사체 속도</t>
  </si>
  <si>
    <t xml:space="preserve">원거리</t>
  </si>
  <si>
    <t xml:space="preserve">투사체가 더 빨리 날아감</t>
  </si>
  <si>
    <t xml:space="preserve">공격 속도</t>
  </si>
  <si>
    <t xml:space="preserve">초당 공격 횟수 증가</t>
  </si>
  <si>
    <t xml:space="preserve">사거리</t>
  </si>
  <si>
    <t xml:space="preserve">근접</t>
  </si>
  <si>
    <t xml:space="preserve">칸</t>
  </si>
  <si>
    <t xml:space="preserve">근접 공격이 닿는 거리 증가</t>
  </si>
  <si>
    <t xml:space="preserve">쿨다운 감소</t>
  </si>
  <si>
    <t xml:space="preserve">스킬 재사용 대기시간 감소</t>
  </si>
  <si>
    <t xml:space="preserve">투사체 수</t>
  </si>
  <si>
    <t xml:space="preserve">개</t>
  </si>
  <si>
    <r>
      <rPr>
        <sz val="10"/>
        <rFont val="Noto Sans CJK SC"/>
        <family val="2"/>
      </rPr>
      <t xml:space="preserve">한 번에 나가는 공격 수 증가 </t>
    </r>
    <r>
      <rPr>
        <sz val="10"/>
        <rFont val="맑은 고딕"/>
        <family val="0"/>
        <charset val="1"/>
      </rPr>
      <t xml:space="preserve">(Lv2·Lv4</t>
    </r>
    <r>
      <rPr>
        <sz val="10"/>
        <rFont val="Noto Sans CJK SC"/>
        <family val="2"/>
      </rPr>
      <t xml:space="preserve">는 공격력 </t>
    </r>
    <r>
      <rPr>
        <sz val="10"/>
        <rFont val="맑은 고딕"/>
        <family val="0"/>
        <charset val="1"/>
      </rPr>
      <t xml:space="preserve">+5%)</t>
    </r>
  </si>
  <si>
    <t xml:space="preserve">획득 범위</t>
  </si>
  <si>
    <r>
      <rPr>
        <sz val="10"/>
        <rFont val="Noto Sans CJK SC"/>
        <family val="2"/>
      </rPr>
      <t xml:space="preserve">경험치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재화를 끌어오는 범위 증가</t>
    </r>
  </si>
  <si>
    <t xml:space="preserve">행운</t>
  </si>
  <si>
    <t xml:space="preserve">좋은 증강이 나올 확률 증가</t>
  </si>
  <si>
    <t xml:space="preserve">성장</t>
  </si>
  <si>
    <t xml:space="preserve">얻는 경험치 증가</t>
  </si>
  <si>
    <t xml:space="preserve">저주</t>
  </si>
  <si>
    <r>
      <rPr>
        <sz val="10"/>
        <rFont val="Noto Sans CJK SC"/>
        <family val="2"/>
      </rPr>
      <t xml:space="preserve">원귀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체력이 늘고 보상도 늘어남</t>
    </r>
  </si>
  <si>
    <t xml:space="preserve">리롤</t>
  </si>
  <si>
    <t xml:space="preserve">회</t>
  </si>
  <si>
    <t xml:space="preserve">증강 선택지를 다시 뽑는 횟수</t>
  </si>
  <si>
    <t xml:space="preserve">치명타 확률</t>
  </si>
  <si>
    <t xml:space="preserve">치명타가 터질 확률 증가</t>
  </si>
  <si>
    <t xml:space="preserve">치명타 피해</t>
  </si>
  <si>
    <t xml:space="preserve">치명타가 터졌을 때 피해 배율 증가</t>
  </si>
  <si>
    <t xml:space="preserve">넓은 베기</t>
  </si>
  <si>
    <t xml:space="preserve">전용</t>
  </si>
  <si>
    <t xml:space="preserve">사인검 베기 각도 증가</t>
  </si>
  <si>
    <t xml:space="preserve">연속 베기</t>
  </si>
  <si>
    <r>
      <rPr>
        <sz val="10"/>
        <rFont val="Noto Sans CJK SC"/>
        <family val="2"/>
      </rPr>
      <t xml:space="preserve">같은 방향으로 한 번 더 벤다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값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추가 베기 피해</t>
    </r>
  </si>
  <si>
    <t xml:space="preserve">관통 부적</t>
  </si>
  <si>
    <t xml:space="preserve">명</t>
  </si>
  <si>
    <t xml:space="preserve">부적이 적을 뚫고 지나감</t>
  </si>
  <si>
    <t xml:space="preserve">속박 부적</t>
  </si>
  <si>
    <r>
      <rPr>
        <sz val="10"/>
        <rFont val="Noto Sans CJK SC"/>
        <family val="2"/>
      </rPr>
      <t xml:space="preserve">적중한 원귀 이동 속도 감소 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)</t>
    </r>
  </si>
  <si>
    <t xml:space="preserve">세 갈래 찌르기</t>
  </si>
  <si>
    <t xml:space="preserve">찌르기가 뒤의 적까지 관통</t>
  </si>
  <si>
    <t xml:space="preserve">정예 사냥</t>
  </si>
  <si>
    <r>
      <rPr>
        <sz val="10"/>
        <rFont val="Noto Sans CJK SC"/>
        <family val="2"/>
      </rPr>
      <t xml:space="preserve">정예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보스에게 주는 피해 증가</t>
    </r>
  </si>
  <si>
    <t xml:space="preserve">돌아오는 신칼</t>
  </si>
  <si>
    <r>
      <rPr>
        <sz val="10"/>
        <rFont val="Noto Sans CJK SC"/>
        <family val="2"/>
      </rPr>
      <t xml:space="preserve">던진 신칼이 돌아오며 한 번 더 타격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값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왕복 피해</t>
    </r>
  </si>
  <si>
    <t xml:space="preserve">점괘</t>
  </si>
  <si>
    <t xml:space="preserve">치명타 확률 증가</t>
  </si>
  <si>
    <t xml:space="preserve">꿰뚫는 화살</t>
  </si>
  <si>
    <t xml:space="preserve">화살 관통 수 증가</t>
  </si>
  <si>
    <t xml:space="preserve">명궁</t>
  </si>
  <si>
    <r>
      <rPr>
        <sz val="10"/>
        <rFont val="Noto Sans CJK SC"/>
        <family val="2"/>
      </rPr>
      <t xml:space="preserve">멀리 있는 적일수록 피해 증가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최대치</t>
    </r>
    <r>
      <rPr>
        <sz val="10"/>
        <rFont val="맑은 고딕"/>
        <family val="0"/>
        <charset val="1"/>
      </rPr>
      <t xml:space="preserve">)</t>
    </r>
  </si>
  <si>
    <t xml:space="preserve">큰 휘두르기</t>
  </si>
  <si>
    <t xml:space="preserve">곡도 공격 범위 증가</t>
  </si>
  <si>
    <t xml:space="preserve">회전 베기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</si>
  <si>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번째 공격마다 주변 전체를 벤다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값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회전 베기 피해</t>
    </r>
  </si>
  <si>
    <t xml:space="preserve">긴 창</t>
  </si>
  <si>
    <t xml:space="preserve">창 사거리 증가</t>
  </si>
  <si>
    <t xml:space="preserve">꿰뚫기</t>
  </si>
  <si>
    <t xml:space="preserve">찌르기 관통 수 증가</t>
  </si>
  <si>
    <t xml:space="preserve">큰 부채</t>
  </si>
  <si>
    <t xml:space="preserve">부채꼴 공격 각도 증가</t>
  </si>
  <si>
    <t xml:space="preserve">거센 바람</t>
  </si>
  <si>
    <t xml:space="preserve">넉백 거리 증가</t>
  </si>
  <si>
    <r>
      <rPr>
        <b val="true"/>
        <sz val="10"/>
        <color rgb="FF595959"/>
        <rFont val="맑은 고딕"/>
        <family val="0"/>
        <charset val="1"/>
      </rPr>
      <t xml:space="preserve">[</t>
    </r>
    <r>
      <rPr>
        <b val="true"/>
        <sz val="10"/>
        <color rgb="FF595959"/>
        <rFont val="Noto Sans CJK SC"/>
        <family val="2"/>
      </rPr>
      <t xml:space="preserve">읽는 법</t>
    </r>
    <r>
      <rPr>
        <b val="true"/>
        <sz val="10"/>
        <color rgb="FF595959"/>
        <rFont val="맑은 고딕"/>
        <family val="0"/>
        <charset val="1"/>
      </rPr>
      <t xml:space="preserve">]</t>
    </r>
  </si>
  <si>
    <r>
      <rPr>
        <sz val="10"/>
        <color rgb="FF595959"/>
        <rFont val="맑은 고딕"/>
        <family val="0"/>
        <charset val="1"/>
      </rPr>
      <t xml:space="preserve">Lv1~Lv5</t>
    </r>
    <r>
      <rPr>
        <sz val="10"/>
        <color rgb="FF595959"/>
        <rFont val="Noto Sans CJK SC"/>
        <family val="2"/>
      </rPr>
      <t xml:space="preserve">는 그 단계까지 올렸을 때의 누적 수치다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예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공격력 </t>
    </r>
    <r>
      <rPr>
        <sz val="10"/>
        <color rgb="FF595959"/>
        <rFont val="맑은 고딕"/>
        <family val="0"/>
        <charset val="1"/>
      </rPr>
      <t xml:space="preserve">Lv3 = </t>
    </r>
    <r>
      <rPr>
        <sz val="10"/>
        <color rgb="FF595959"/>
        <rFont val="Noto Sans CJK SC"/>
        <family val="2"/>
      </rPr>
      <t xml:space="preserve">기본 공격력 </t>
    </r>
    <r>
      <rPr>
        <sz val="10"/>
        <color rgb="FF595959"/>
        <rFont val="맑은 고딕"/>
        <family val="0"/>
        <charset val="1"/>
      </rPr>
      <t xml:space="preserve">× (1 + 30%).</t>
    </r>
  </si>
  <si>
    <r>
      <rPr>
        <sz val="10"/>
        <color rgb="FF595959"/>
        <rFont val="맑은 고딕"/>
        <family val="0"/>
        <charset val="1"/>
      </rPr>
      <t xml:space="preserve">Stat: Sheet1</t>
    </r>
    <r>
      <rPr>
        <sz val="10"/>
        <color rgb="FF595959"/>
        <rFont val="Noto Sans CJK SC"/>
        <family val="2"/>
      </rPr>
      <t xml:space="preserve">의 열 이름과 같다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이름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무기를 뺀 수치만 대상이며</t>
    </r>
    <r>
      <rPr>
        <sz val="10"/>
        <color rgb="FF595959"/>
        <rFont val="맑은 고딕"/>
        <family val="0"/>
        <charset val="1"/>
      </rPr>
      <t xml:space="preserve">, Specificity</t>
    </r>
    <r>
      <rPr>
        <sz val="10"/>
        <color rgb="FF595959"/>
        <rFont val="Noto Sans CJK SC"/>
        <family val="2"/>
      </rPr>
      <t xml:space="preserve">는 캐릭터 전용 세부 스킬이다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</si>
  <si>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맑은 고딕"/>
        <family val="0"/>
        <charset val="1"/>
      </rPr>
      <t xml:space="preserve">Op: Mul = </t>
    </r>
    <r>
      <rPr>
        <sz val="10"/>
        <color rgb="FF595959"/>
        <rFont val="Noto Sans CJK SC"/>
        <family val="2"/>
      </rPr>
      <t xml:space="preserve">기본값에 곱한다</t>
    </r>
    <r>
      <rPr>
        <sz val="10"/>
        <color rgb="FF595959"/>
        <rFont val="맑은 고딕"/>
        <family val="0"/>
        <charset val="1"/>
      </rPr>
      <t xml:space="preserve">(+%), Add = </t>
    </r>
    <r>
      <rPr>
        <sz val="10"/>
        <color rgb="FF595959"/>
        <rFont val="Noto Sans CJK SC"/>
        <family val="2"/>
      </rPr>
      <t xml:space="preserve">그대로 더한다</t>
    </r>
    <r>
      <rPr>
        <sz val="10"/>
        <color rgb="FF595959"/>
        <rFont val="맑은 고딕"/>
        <family val="0"/>
        <charset val="1"/>
      </rPr>
      <t xml:space="preserve">. Sheet1</t>
    </r>
    <r>
      <rPr>
        <sz val="10"/>
        <color rgb="FF595959"/>
        <rFont val="Noto Sans CJK SC"/>
        <family val="2"/>
      </rPr>
      <t xml:space="preserve">에서 기본값이 </t>
    </r>
    <r>
      <rPr>
        <sz val="10"/>
        <color rgb="FF595959"/>
        <rFont val="맑은 고딕"/>
        <family val="0"/>
        <charset val="1"/>
      </rPr>
      <t xml:space="preserve">0</t>
    </r>
    <r>
      <rPr>
        <sz val="10"/>
        <color rgb="FF595959"/>
        <rFont val="Noto Sans CJK SC"/>
        <family val="2"/>
      </rPr>
      <t xml:space="preserve">인 스탯</t>
    </r>
    <r>
      <rPr>
        <sz val="10"/>
        <color rgb="FF595959"/>
        <rFont val="맑은 고딕"/>
        <family val="0"/>
        <charset val="1"/>
      </rPr>
      <t xml:space="preserve">(Healing, Defend, BulletSpeed, Cooldown~Reroll)</t>
    </r>
    <r>
      <rPr>
        <sz val="10"/>
        <color rgb="FF595959"/>
        <rFont val="Noto Sans CJK SC"/>
        <family val="2"/>
      </rPr>
      <t xml:space="preserve">과 치명타</t>
    </r>
    <r>
      <rPr>
        <sz val="10"/>
        <color rgb="FF595959"/>
        <rFont val="맑은 고딕"/>
        <family val="0"/>
        <charset val="1"/>
      </rPr>
      <t xml:space="preserve">(CritRate, CritDmg)</t>
    </r>
    <r>
      <rPr>
        <sz val="10"/>
        <color rgb="FF595959"/>
        <rFont val="Noto Sans CJK SC"/>
        <family val="2"/>
      </rPr>
      <t xml:space="preserve">는 </t>
    </r>
    <r>
      <rPr>
        <sz val="10"/>
        <color rgb="FF595959"/>
        <rFont val="맑은 고딕"/>
        <family val="0"/>
        <charset val="1"/>
      </rPr>
      <t xml:space="preserve">Add</t>
    </r>
    <r>
      <rPr>
        <sz val="10"/>
        <color rgb="FF595959"/>
        <rFont val="Noto Sans CJK SC"/>
        <family val="2"/>
      </rPr>
      <t xml:space="preserve">로 쌓는다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</si>
  <si>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맑은 고딕"/>
        <family val="0"/>
        <charset val="1"/>
      </rPr>
      <t xml:space="preserve">CritRate = </t>
    </r>
    <r>
      <rPr>
        <sz val="10"/>
        <color rgb="FF595959"/>
        <rFont val="Noto Sans CJK SC"/>
        <family val="2"/>
      </rPr>
      <t xml:space="preserve">치명타 확률</t>
    </r>
    <r>
      <rPr>
        <sz val="10"/>
        <color rgb="FF595959"/>
        <rFont val="맑은 고딕"/>
        <family val="0"/>
        <charset val="1"/>
      </rPr>
      <t xml:space="preserve">, CritDmg = </t>
    </r>
    <r>
      <rPr>
        <sz val="10"/>
        <color rgb="FF595959"/>
        <rFont val="Noto Sans CJK SC"/>
        <family val="2"/>
      </rPr>
      <t xml:space="preserve">치명타 피해 배율 </t>
    </r>
    <r>
      <rPr>
        <sz val="10"/>
        <color rgb="FF595959"/>
        <rFont val="맑은 고딕"/>
        <family val="0"/>
        <charset val="1"/>
      </rPr>
      <t xml:space="preserve">(150% = </t>
    </r>
    <r>
      <rPr>
        <sz val="10"/>
        <color rgb="FF595959"/>
        <rFont val="Noto Sans CJK SC"/>
        <family val="2"/>
      </rPr>
      <t xml:space="preserve">기본 공격의 </t>
    </r>
    <r>
      <rPr>
        <sz val="10"/>
        <color rgb="FF595959"/>
        <rFont val="맑은 고딕"/>
        <family val="0"/>
        <charset val="1"/>
      </rPr>
      <t xml:space="preserve">1.5</t>
    </r>
    <r>
      <rPr>
        <sz val="10"/>
        <color rgb="FF595959"/>
        <rFont val="Noto Sans CJK SC"/>
        <family val="2"/>
      </rPr>
      <t xml:space="preserve">배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Noto Sans CJK SC"/>
        <family val="2"/>
      </rPr>
      <t xml:space="preserve">기존 열 순서가 바뀌지 않도록 </t>
    </r>
    <r>
      <rPr>
        <sz val="10"/>
        <color rgb="FF595959"/>
        <rFont val="맑은 고딕"/>
        <family val="0"/>
        <charset val="1"/>
      </rPr>
      <t xml:space="preserve">Sheet1 </t>
    </r>
    <r>
      <rPr>
        <sz val="10"/>
        <color rgb="FF595959"/>
        <rFont val="Noto Sans CJK SC"/>
        <family val="2"/>
      </rPr>
      <t xml:space="preserve">맨 뒤</t>
    </r>
    <r>
      <rPr>
        <sz val="10"/>
        <color rgb="FF595959"/>
        <rFont val="맑은 고딕"/>
        <family val="0"/>
        <charset val="1"/>
      </rPr>
      <t xml:space="preserve">(T, U</t>
    </r>
    <r>
      <rPr>
        <sz val="10"/>
        <color rgb="FF595959"/>
        <rFont val="Noto Sans CJK SC"/>
        <family val="2"/>
      </rPr>
      <t xml:space="preserve">열</t>
    </r>
    <r>
      <rPr>
        <sz val="10"/>
        <color rgb="FF595959"/>
        <rFont val="맑은 고딕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에 추가했다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</si>
  <si>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맑은 고딕"/>
        <family val="0"/>
        <charset val="1"/>
      </rPr>
      <t xml:space="preserve">Target: </t>
    </r>
    <r>
      <rPr>
        <sz val="10"/>
        <color rgb="FF595959"/>
        <rFont val="Noto Sans CJK SC"/>
        <family val="2"/>
      </rPr>
      <t xml:space="preserve">전체 </t>
    </r>
    <r>
      <rPr>
        <sz val="10"/>
        <color rgb="FF595959"/>
        <rFont val="맑은 고딕"/>
        <family val="0"/>
        <charset val="1"/>
      </rPr>
      <t xml:space="preserve">/ </t>
    </r>
    <r>
      <rPr>
        <sz val="10"/>
        <color rgb="FF595959"/>
        <rFont val="Noto Sans CJK SC"/>
        <family val="2"/>
      </rPr>
      <t xml:space="preserve">근접 </t>
    </r>
    <r>
      <rPr>
        <sz val="10"/>
        <color rgb="FF595959"/>
        <rFont val="맑은 고딕"/>
        <family val="0"/>
        <charset val="1"/>
      </rPr>
      <t xml:space="preserve">/ </t>
    </r>
    <r>
      <rPr>
        <sz val="10"/>
        <color rgb="FF595959"/>
        <rFont val="Noto Sans CJK SC"/>
        <family val="2"/>
      </rPr>
      <t xml:space="preserve">원거리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또는 </t>
    </r>
    <r>
      <rPr>
        <sz val="10"/>
        <color rgb="FF595959"/>
        <rFont val="맑은 고딕"/>
        <family val="0"/>
        <charset val="1"/>
      </rPr>
      <t xml:space="preserve">Sheet1</t>
    </r>
    <r>
      <rPr>
        <sz val="10"/>
        <color rgb="FF595959"/>
        <rFont val="Noto Sans CJK SC"/>
        <family val="2"/>
      </rPr>
      <t xml:space="preserve">의 캐릭터 </t>
    </r>
    <r>
      <rPr>
        <sz val="10"/>
        <color rgb="FF595959"/>
        <rFont val="맑은 고딕"/>
        <family val="0"/>
        <charset val="1"/>
      </rPr>
      <t xml:space="preserve">Code.</t>
    </r>
  </si>
  <si>
    <r>
      <rPr>
        <sz val="10"/>
        <color rgb="FF595959"/>
        <rFont val="맑은 고딕"/>
        <family val="0"/>
        <charset val="1"/>
      </rPr>
      <t xml:space="preserve">Persist: </t>
    </r>
    <r>
      <rPr>
        <sz val="10"/>
        <color rgb="FF595959"/>
        <rFont val="Noto Sans CJK SC"/>
        <family val="2"/>
      </rPr>
      <t xml:space="preserve">영구 </t>
    </r>
    <r>
      <rPr>
        <sz val="10"/>
        <color rgb="FF595959"/>
        <rFont val="맑은 고딕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그 판 동안 유지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일회용 </t>
    </r>
    <r>
      <rPr>
        <sz val="10"/>
        <color rgb="FF595959"/>
        <rFont val="맑은 고딕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한 번 쓰고 사라짐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일회용 증강은 추후 추가 예정이다 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슬롯을 차지하는지는 미정</t>
    </r>
    <r>
      <rPr>
        <sz val="10"/>
        <color rgb="FF595959"/>
        <rFont val="맑은 고딕"/>
        <family val="0"/>
        <charset val="1"/>
      </rPr>
      <t xml:space="preserve">).</t>
    </r>
  </si>
  <si>
    <r>
      <rPr>
        <sz val="10"/>
        <color rgb="FF595959"/>
        <rFont val="맑은 고딕"/>
        <family val="0"/>
        <charset val="1"/>
      </rPr>
      <t xml:space="preserve">AtkSpeed</t>
    </r>
    <r>
      <rPr>
        <sz val="10"/>
        <color rgb="FF595959"/>
        <rFont val="Noto Sans CJK SC"/>
        <family val="2"/>
      </rPr>
      <t xml:space="preserve">는 초당 공격 횟수로 해석했다 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값이 클수록 빠름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Noto Sans CJK SC"/>
        <family val="2"/>
      </rPr>
      <t xml:space="preserve">다르면 </t>
    </r>
    <r>
      <rPr>
        <sz val="10"/>
        <color rgb="FF595959"/>
        <rFont val="맑은 고딕"/>
        <family val="0"/>
        <charset val="1"/>
      </rPr>
      <t xml:space="preserve">3007</t>
    </r>
    <r>
      <rPr>
        <sz val="10"/>
        <color rgb="FF595959"/>
        <rFont val="Noto Sans CJK SC"/>
        <family val="2"/>
      </rPr>
      <t xml:space="preserve">의 방향을 바꿔야 한다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</si>
  <si>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Noto Sans CJK SC"/>
        <family val="2"/>
      </rPr>
      <t xml:space="preserve">수치는 전부 초안이다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플레이 테스트 후 조정한다</t>
    </r>
    <r>
      <rPr>
        <sz val="10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</si>
</sst>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##"/>
  </numFmts>
  <fonts count="1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6171A"/>
      <name val="Arial"/>
      <family val="2"/>
      <charset val="1"/>
    </font>
    <font>
      <sz val="11"/>
      <name val="맑은 고딕"/>
      <family val="0"/>
      <charset val="1"/>
    </font>
    <font>
      <sz val="11"/>
      <color theme="1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595959"/>
      <name val="맑은 고딕"/>
      <family val="0"/>
      <charset val="1"/>
    </font>
    <font>
      <b val="true"/>
      <sz val="10"/>
      <color rgb="FF595959"/>
      <name val="Noto Sans CJK SC"/>
      <family val="2"/>
    </font>
    <font>
      <sz val="10"/>
      <color rgb="FF595959"/>
      <name val="맑은 고딕"/>
      <family val="0"/>
      <charset val="1"/>
    </font>
    <font>
      <sz val="10"/>
      <color rgb="FF595959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617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2" activeCellId="0" sqref="S2"/>
    </sheetView>
  </sheetViews>
  <sheetFormatPr defaultColWidth="8.53125" defaultRowHeight="16.5" zeroHeight="false" outlineLevelRow="0" outlineLevelCol="0"/>
  <cols>
    <col collapsed="false" customWidth="true" hidden="false" outlineLevel="0" max="6" min="6" style="0" width="12"/>
    <col collapsed="false" customWidth="true" hidden="false" outlineLevel="0" max="7" min="7" style="0" width="13.37"/>
    <col collapsed="false" customWidth="true" hidden="false" outlineLevel="0" max="8" min="8" style="0" width="11.75"/>
    <col collapsed="false" customWidth="true" hidden="false" outlineLevel="0" max="9" min="9" style="0" width="13"/>
    <col collapsed="false" customWidth="true" hidden="false" outlineLevel="0" max="10" min="10" style="0" width="13.25"/>
    <col collapsed="false" customWidth="true" hidden="false" outlineLevel="0" max="12" min="12" style="0" width="13.13"/>
    <col collapsed="false" customWidth="true" hidden="false" outlineLevel="0" max="19" min="19" style="0" width="38.13"/>
    <col collapsed="false" customWidth="true" hidden="false" outlineLevel="0" max="21" min="20" style="0" width="10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1" t="s">
        <v>18</v>
      </c>
      <c r="T1" s="2" t="s">
        <v>19</v>
      </c>
      <c r="U1" s="2" t="s">
        <v>20</v>
      </c>
    </row>
    <row r="2" customFormat="false" ht="16.5" hidden="false" customHeight="false" outlineLevel="0" collapsed="false">
      <c r="A2" s="0" t="n">
        <v>1001</v>
      </c>
      <c r="B2" s="3" t="s">
        <v>21</v>
      </c>
      <c r="C2" s="3" t="s">
        <v>22</v>
      </c>
      <c r="D2" s="0" t="n">
        <v>150</v>
      </c>
      <c r="E2" s="0" t="n">
        <v>5</v>
      </c>
      <c r="F2" s="0" t="n">
        <v>0</v>
      </c>
      <c r="G2" s="0" t="n">
        <v>0</v>
      </c>
      <c r="H2" s="0" t="n">
        <v>20</v>
      </c>
      <c r="I2" s="0" t="n">
        <v>0</v>
      </c>
      <c r="J2" s="0" t="n">
        <v>0.8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T2" s="4" t="n">
        <v>0.05</v>
      </c>
      <c r="U2" s="4" t="n">
        <v>1.5</v>
      </c>
    </row>
    <row r="3" customFormat="false" ht="16.5" hidden="false" customHeight="false" outlineLevel="0" collapsed="false">
      <c r="A3" s="0" t="n">
        <v>1002</v>
      </c>
      <c r="B3" s="3" t="s">
        <v>23</v>
      </c>
      <c r="C3" s="3" t="s">
        <v>24</v>
      </c>
      <c r="D3" s="0" t="n">
        <v>100</v>
      </c>
      <c r="E3" s="0" t="n">
        <v>5</v>
      </c>
      <c r="F3" s="0" t="n">
        <v>0</v>
      </c>
      <c r="G3" s="0" t="n">
        <v>0</v>
      </c>
      <c r="H3" s="0" t="n">
        <v>12</v>
      </c>
      <c r="I3" s="0" t="n">
        <v>0</v>
      </c>
      <c r="J3" s="0" t="n">
        <v>1.4</v>
      </c>
      <c r="K3" s="0" t="n">
        <v>99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T3" s="4" t="n">
        <v>0.05</v>
      </c>
      <c r="U3" s="4" t="n">
        <v>1.5</v>
      </c>
    </row>
    <row r="4" customFormat="false" ht="16.5" hidden="false" customHeight="false" outlineLevel="0" collapsed="false">
      <c r="A4" s="0" t="n">
        <v>1003</v>
      </c>
      <c r="B4" s="3" t="s">
        <v>25</v>
      </c>
      <c r="C4" s="3" t="s">
        <v>26</v>
      </c>
      <c r="D4" s="0" t="n">
        <v>170</v>
      </c>
      <c r="E4" s="0" t="n">
        <v>5</v>
      </c>
      <c r="F4" s="0" t="n">
        <v>0</v>
      </c>
      <c r="G4" s="0" t="n">
        <v>0</v>
      </c>
      <c r="H4" s="0" t="n">
        <v>25</v>
      </c>
      <c r="I4" s="0" t="n">
        <v>0</v>
      </c>
      <c r="J4" s="0" t="n">
        <v>0.6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T4" s="4" t="n">
        <v>0.05</v>
      </c>
      <c r="U4" s="4" t="n">
        <v>1.5</v>
      </c>
    </row>
    <row r="5" customFormat="false" ht="16.5" hidden="false" customHeight="false" outlineLevel="0" collapsed="false">
      <c r="A5" s="0" t="n">
        <v>1004</v>
      </c>
      <c r="B5" s="3" t="s">
        <v>27</v>
      </c>
      <c r="C5" s="3" t="s">
        <v>28</v>
      </c>
      <c r="D5" s="0" t="n">
        <v>85</v>
      </c>
      <c r="E5" s="0" t="n">
        <v>5</v>
      </c>
      <c r="F5" s="0" t="n">
        <v>0</v>
      </c>
      <c r="G5" s="0" t="n">
        <v>0</v>
      </c>
      <c r="H5" s="0" t="n">
        <v>14</v>
      </c>
      <c r="I5" s="0" t="n">
        <v>0</v>
      </c>
      <c r="J5" s="0" t="n">
        <v>1.6</v>
      </c>
      <c r="K5" s="0" t="n">
        <v>99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T5" s="4" t="n">
        <v>0.1</v>
      </c>
      <c r="U5" s="4" t="n">
        <v>1.5</v>
      </c>
    </row>
    <row r="6" customFormat="false" ht="16.5" hidden="false" customHeight="false" outlineLevel="0" collapsed="false">
      <c r="A6" s="0" t="n">
        <v>1005</v>
      </c>
      <c r="B6" s="3" t="s">
        <v>29</v>
      </c>
      <c r="C6" s="3" t="s">
        <v>30</v>
      </c>
      <c r="D6" s="0" t="n">
        <v>75</v>
      </c>
      <c r="E6" s="0" t="n">
        <v>6</v>
      </c>
      <c r="F6" s="0" t="n">
        <v>0</v>
      </c>
      <c r="G6" s="0" t="n">
        <v>0</v>
      </c>
      <c r="H6" s="0" t="n">
        <v>18</v>
      </c>
      <c r="I6" s="0" t="n">
        <v>0</v>
      </c>
      <c r="J6" s="0" t="n">
        <v>1.75</v>
      </c>
      <c r="K6" s="0" t="n">
        <v>99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T6" s="4" t="n">
        <v>0.05</v>
      </c>
      <c r="U6" s="4" t="n">
        <v>1.5</v>
      </c>
    </row>
    <row r="7" customFormat="false" ht="16.5" hidden="false" customHeight="false" outlineLevel="0" collapsed="false">
      <c r="A7" s="0" t="n">
        <v>1006</v>
      </c>
      <c r="B7" s="3" t="s">
        <v>31</v>
      </c>
      <c r="C7" s="3" t="s">
        <v>32</v>
      </c>
      <c r="D7" s="0" t="n">
        <v>125</v>
      </c>
      <c r="E7" s="0" t="n">
        <v>4</v>
      </c>
      <c r="F7" s="0" t="n">
        <v>0</v>
      </c>
      <c r="G7" s="0" t="n">
        <v>0</v>
      </c>
      <c r="H7" s="0" t="n">
        <v>15</v>
      </c>
      <c r="I7" s="0" t="n">
        <v>0</v>
      </c>
      <c r="J7" s="0" t="n">
        <v>1.25</v>
      </c>
      <c r="K7" s="0" t="n">
        <v>1.5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T7" s="4" t="n">
        <v>0.05</v>
      </c>
      <c r="U7" s="4" t="n">
        <v>1.5</v>
      </c>
    </row>
    <row r="8" customFormat="false" ht="16.5" hidden="false" customHeight="false" outlineLevel="0" collapsed="false">
      <c r="A8" s="0" t="n">
        <v>1007</v>
      </c>
      <c r="B8" s="3" t="s">
        <v>33</v>
      </c>
      <c r="C8" s="3" t="s">
        <v>34</v>
      </c>
      <c r="D8" s="0" t="n">
        <v>135</v>
      </c>
      <c r="E8" s="0" t="n">
        <v>4</v>
      </c>
      <c r="F8" s="0" t="n">
        <v>0</v>
      </c>
      <c r="G8" s="0" t="n">
        <v>0</v>
      </c>
      <c r="H8" s="0" t="n">
        <v>17.5</v>
      </c>
      <c r="I8" s="0" t="n">
        <v>0</v>
      </c>
      <c r="J8" s="0" t="n">
        <v>1.1</v>
      </c>
      <c r="K8" s="0" t="n">
        <v>1.5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T8" s="4" t="n">
        <v>0.05</v>
      </c>
      <c r="U8" s="4" t="n">
        <v>1.5</v>
      </c>
    </row>
    <row r="9" customFormat="false" ht="16.5" hidden="false" customHeight="false" outlineLevel="0" collapsed="false">
      <c r="A9" s="0" t="n">
        <v>1008</v>
      </c>
      <c r="B9" s="3" t="s">
        <v>35</v>
      </c>
      <c r="C9" s="3" t="s">
        <v>36</v>
      </c>
      <c r="D9" s="0" t="n">
        <v>80</v>
      </c>
      <c r="E9" s="0" t="n">
        <v>6</v>
      </c>
      <c r="F9" s="0" t="n">
        <v>0</v>
      </c>
      <c r="G9" s="0" t="n">
        <v>0</v>
      </c>
      <c r="H9" s="0" t="n">
        <v>10</v>
      </c>
      <c r="I9" s="0" t="n">
        <v>0</v>
      </c>
      <c r="J9" s="0" t="n">
        <v>1.85</v>
      </c>
      <c r="K9" s="0" t="n">
        <v>99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T9" s="4" t="n">
        <v>0.05</v>
      </c>
      <c r="U9" s="4" t="n">
        <v>1.5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6"/>
    <col collapsed="false" customWidth="true" hidden="false" outlineLevel="0" max="14" min="9" style="0" width="7"/>
    <col collapsed="false" customWidth="true" hidden="false" outlineLevel="0" max="15" min="15" style="0" width="56"/>
  </cols>
  <sheetData>
    <row r="1" customFormat="false" ht="15" hidden="false" customHeight="false" outlineLevel="0" collapsed="false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6" t="s">
        <v>38</v>
      </c>
      <c r="B2" s="6"/>
      <c r="C2" s="6" t="n">
        <v>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customFormat="false" ht="15" hidden="false" customHeight="false" outlineLevel="0" collapsed="false">
      <c r="A3" s="6" t="s">
        <v>39</v>
      </c>
      <c r="B3" s="6"/>
      <c r="C3" s="6" t="n">
        <v>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15" hidden="false" customHeight="false" outlineLevel="0" collapsed="false">
      <c r="A4" s="6" t="s">
        <v>40</v>
      </c>
      <c r="B4" s="6"/>
      <c r="C4" s="6" t="n"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15" hidden="false" customHeight="false" outlineLevel="0" collapsed="false">
      <c r="A5" s="6" t="s">
        <v>41</v>
      </c>
      <c r="B5" s="6"/>
      <c r="C5" s="6" t="n">
        <v>30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6" t="s">
        <v>42</v>
      </c>
      <c r="B6" s="6"/>
      <c r="C6" s="6" t="n">
        <f aca="false">C2*C3</f>
        <v>30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6" t="s">
        <v>43</v>
      </c>
      <c r="B7" s="6"/>
      <c r="C7" s="6" t="n">
        <f aca="false">C5-C4</f>
        <v>30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6" t="s">
        <v>44</v>
      </c>
      <c r="B8" s="6"/>
      <c r="C8" s="6" t="n">
        <f aca="false">C6-C7</f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customFormat="false" ht="15" hidden="false" customHeight="false" outlineLevel="0" collapsed="false">
      <c r="A10" s="7" t="s">
        <v>0</v>
      </c>
      <c r="B10" s="7" t="s">
        <v>1</v>
      </c>
      <c r="C10" s="7" t="s">
        <v>45</v>
      </c>
      <c r="D10" s="7" t="s">
        <v>46</v>
      </c>
      <c r="E10" s="7" t="s">
        <v>47</v>
      </c>
      <c r="F10" s="7" t="s">
        <v>48</v>
      </c>
      <c r="G10" s="7" t="s">
        <v>49</v>
      </c>
      <c r="H10" s="7" t="s">
        <v>50</v>
      </c>
      <c r="I10" s="7" t="s">
        <v>51</v>
      </c>
      <c r="J10" s="7" t="s">
        <v>52</v>
      </c>
      <c r="K10" s="7" t="s">
        <v>53</v>
      </c>
      <c r="L10" s="7" t="s">
        <v>54</v>
      </c>
      <c r="M10" s="7" t="s">
        <v>55</v>
      </c>
      <c r="N10" s="7" t="s">
        <v>56</v>
      </c>
      <c r="O10" s="7" t="s">
        <v>57</v>
      </c>
    </row>
    <row r="11" customFormat="false" ht="15" hidden="false" customHeight="false" outlineLevel="0" collapsed="false">
      <c r="A11" s="6" t="n">
        <v>3001</v>
      </c>
      <c r="B11" s="6" t="s">
        <v>58</v>
      </c>
      <c r="C11" s="6" t="s">
        <v>59</v>
      </c>
      <c r="D11" s="6" t="s">
        <v>60</v>
      </c>
      <c r="E11" s="6" t="s">
        <v>61</v>
      </c>
      <c r="F11" s="6" t="str">
        <f aca="false">IF(ISNUMBER(E11),INDEX(Sheet1!$B:$B,MATCH(E11,Sheet1!$A:$A,0)),E11)</f>
        <v>전체</v>
      </c>
      <c r="G11" s="8" t="s">
        <v>3</v>
      </c>
      <c r="H11" s="8" t="s">
        <v>62</v>
      </c>
      <c r="I11" s="8" t="s">
        <v>63</v>
      </c>
      <c r="J11" s="9" t="n">
        <v>0.1</v>
      </c>
      <c r="K11" s="9" t="n">
        <v>0.2</v>
      </c>
      <c r="L11" s="9" t="n">
        <v>0.3</v>
      </c>
      <c r="M11" s="9" t="n">
        <v>0.4</v>
      </c>
      <c r="N11" s="9" t="n">
        <v>0.5</v>
      </c>
      <c r="O11" s="6" t="s">
        <v>64</v>
      </c>
    </row>
    <row r="12" customFormat="false" ht="15" hidden="false" customHeight="false" outlineLevel="0" collapsed="false">
      <c r="A12" s="6" t="n">
        <v>3002</v>
      </c>
      <c r="B12" s="6" t="s">
        <v>65</v>
      </c>
      <c r="C12" s="6" t="s">
        <v>59</v>
      </c>
      <c r="D12" s="6" t="s">
        <v>60</v>
      </c>
      <c r="E12" s="6" t="s">
        <v>61</v>
      </c>
      <c r="F12" s="6" t="str">
        <f aca="false">IF(ISNUMBER(E12),INDEX(Sheet1!$B:$B,MATCH(E12,Sheet1!$A:$A,0)),E12)</f>
        <v>전체</v>
      </c>
      <c r="G12" s="8" t="s">
        <v>4</v>
      </c>
      <c r="H12" s="8" t="s">
        <v>62</v>
      </c>
      <c r="I12" s="8" t="s">
        <v>63</v>
      </c>
      <c r="J12" s="9" t="n">
        <v>0.05</v>
      </c>
      <c r="K12" s="9" t="n">
        <v>0.1</v>
      </c>
      <c r="L12" s="9" t="n">
        <v>0.15</v>
      </c>
      <c r="M12" s="9" t="n">
        <v>0.2</v>
      </c>
      <c r="N12" s="9" t="n">
        <v>0.25</v>
      </c>
      <c r="O12" s="6" t="s">
        <v>66</v>
      </c>
    </row>
    <row r="13" customFormat="false" ht="15" hidden="false" customHeight="false" outlineLevel="0" collapsed="false">
      <c r="A13" s="6" t="n">
        <v>3003</v>
      </c>
      <c r="B13" s="6" t="s">
        <v>67</v>
      </c>
      <c r="C13" s="6" t="s">
        <v>59</v>
      </c>
      <c r="D13" s="6" t="s">
        <v>60</v>
      </c>
      <c r="E13" s="6" t="s">
        <v>61</v>
      </c>
      <c r="F13" s="6" t="str">
        <f aca="false">IF(ISNUMBER(E13),INDEX(Sheet1!$B:$B,MATCH(E13,Sheet1!$A:$A,0)),E13)</f>
        <v>전체</v>
      </c>
      <c r="G13" s="8" t="s">
        <v>5</v>
      </c>
      <c r="H13" s="8" t="s">
        <v>68</v>
      </c>
      <c r="I13" s="8" t="s">
        <v>69</v>
      </c>
      <c r="J13" s="10" t="n">
        <v>0.2</v>
      </c>
      <c r="K13" s="10" t="n">
        <v>0.4</v>
      </c>
      <c r="L13" s="10" t="n">
        <v>0.6</v>
      </c>
      <c r="M13" s="10" t="n">
        <v>0.8</v>
      </c>
      <c r="N13" s="10" t="n">
        <v>1</v>
      </c>
      <c r="O13" s="6" t="s">
        <v>70</v>
      </c>
    </row>
    <row r="14" customFormat="false" ht="15" hidden="false" customHeight="false" outlineLevel="0" collapsed="false">
      <c r="A14" s="6" t="n">
        <v>3004</v>
      </c>
      <c r="B14" s="6" t="s">
        <v>71</v>
      </c>
      <c r="C14" s="6" t="s">
        <v>59</v>
      </c>
      <c r="D14" s="6" t="s">
        <v>60</v>
      </c>
      <c r="E14" s="6" t="s">
        <v>61</v>
      </c>
      <c r="F14" s="6" t="str">
        <f aca="false">IF(ISNUMBER(E14),INDEX(Sheet1!$B:$B,MATCH(E14,Sheet1!$A:$A,0)),E14)</f>
        <v>전체</v>
      </c>
      <c r="G14" s="8" t="s">
        <v>6</v>
      </c>
      <c r="H14" s="8" t="s">
        <v>68</v>
      </c>
      <c r="I14" s="6" t="s">
        <v>72</v>
      </c>
      <c r="J14" s="10" t="n">
        <v>1</v>
      </c>
      <c r="K14" s="10" t="n">
        <v>2</v>
      </c>
      <c r="L14" s="10" t="n">
        <v>3</v>
      </c>
      <c r="M14" s="10" t="n">
        <v>4</v>
      </c>
      <c r="N14" s="10" t="n">
        <v>5</v>
      </c>
      <c r="O14" s="6" t="s">
        <v>73</v>
      </c>
    </row>
    <row r="15" customFormat="false" ht="15" hidden="false" customHeight="false" outlineLevel="0" collapsed="false">
      <c r="A15" s="6" t="n">
        <v>3005</v>
      </c>
      <c r="B15" s="6" t="s">
        <v>74</v>
      </c>
      <c r="C15" s="6" t="s">
        <v>59</v>
      </c>
      <c r="D15" s="6" t="s">
        <v>60</v>
      </c>
      <c r="E15" s="6" t="s">
        <v>61</v>
      </c>
      <c r="F15" s="6" t="str">
        <f aca="false">IF(ISNUMBER(E15),INDEX(Sheet1!$B:$B,MATCH(E15,Sheet1!$A:$A,0)),E15)</f>
        <v>전체</v>
      </c>
      <c r="G15" s="8" t="s">
        <v>7</v>
      </c>
      <c r="H15" s="8" t="s">
        <v>62</v>
      </c>
      <c r="I15" s="8" t="s">
        <v>63</v>
      </c>
      <c r="J15" s="9" t="n">
        <v>0.1</v>
      </c>
      <c r="K15" s="9" t="n">
        <v>0.2</v>
      </c>
      <c r="L15" s="9" t="n">
        <v>0.3</v>
      </c>
      <c r="M15" s="9" t="n">
        <v>0.4</v>
      </c>
      <c r="N15" s="9" t="n">
        <v>0.5</v>
      </c>
      <c r="O15" s="6" t="s">
        <v>75</v>
      </c>
    </row>
    <row r="16" customFormat="false" ht="15" hidden="false" customHeight="false" outlineLevel="0" collapsed="false">
      <c r="A16" s="6" t="n">
        <v>3006</v>
      </c>
      <c r="B16" s="6" t="s">
        <v>76</v>
      </c>
      <c r="C16" s="6" t="s">
        <v>59</v>
      </c>
      <c r="D16" s="6" t="s">
        <v>60</v>
      </c>
      <c r="E16" s="6" t="s">
        <v>77</v>
      </c>
      <c r="F16" s="6" t="str">
        <f aca="false">IF(ISNUMBER(E16),INDEX(Sheet1!$B:$B,MATCH(E16,Sheet1!$A:$A,0)),E16)</f>
        <v>원거리</v>
      </c>
      <c r="G16" s="8" t="s">
        <v>8</v>
      </c>
      <c r="H16" s="8" t="s">
        <v>68</v>
      </c>
      <c r="I16" s="8" t="s">
        <v>63</v>
      </c>
      <c r="J16" s="9" t="n">
        <v>0.1</v>
      </c>
      <c r="K16" s="9" t="n">
        <v>0.2</v>
      </c>
      <c r="L16" s="9" t="n">
        <v>0.3</v>
      </c>
      <c r="M16" s="9" t="n">
        <v>0.4</v>
      </c>
      <c r="N16" s="9" t="n">
        <v>0.5</v>
      </c>
      <c r="O16" s="6" t="s">
        <v>78</v>
      </c>
    </row>
    <row r="17" customFormat="false" ht="15" hidden="false" customHeight="false" outlineLevel="0" collapsed="false">
      <c r="A17" s="6" t="n">
        <v>3007</v>
      </c>
      <c r="B17" s="6" t="s">
        <v>79</v>
      </c>
      <c r="C17" s="6" t="s">
        <v>59</v>
      </c>
      <c r="D17" s="6" t="s">
        <v>60</v>
      </c>
      <c r="E17" s="6" t="s">
        <v>61</v>
      </c>
      <c r="F17" s="6" t="str">
        <f aca="false">IF(ISNUMBER(E17),INDEX(Sheet1!$B:$B,MATCH(E17,Sheet1!$A:$A,0)),E17)</f>
        <v>전체</v>
      </c>
      <c r="G17" s="8" t="s">
        <v>9</v>
      </c>
      <c r="H17" s="8" t="s">
        <v>62</v>
      </c>
      <c r="I17" s="8" t="s">
        <v>63</v>
      </c>
      <c r="J17" s="9" t="n">
        <v>0.08</v>
      </c>
      <c r="K17" s="9" t="n">
        <v>0.16</v>
      </c>
      <c r="L17" s="9" t="n">
        <v>0.24</v>
      </c>
      <c r="M17" s="9" t="n">
        <v>0.32</v>
      </c>
      <c r="N17" s="9" t="n">
        <v>0.4</v>
      </c>
      <c r="O17" s="6" t="s">
        <v>80</v>
      </c>
    </row>
    <row r="18" customFormat="false" ht="15" hidden="false" customHeight="false" outlineLevel="0" collapsed="false">
      <c r="A18" s="6" t="n">
        <v>3008</v>
      </c>
      <c r="B18" s="6" t="s">
        <v>81</v>
      </c>
      <c r="C18" s="6" t="s">
        <v>59</v>
      </c>
      <c r="D18" s="6" t="s">
        <v>60</v>
      </c>
      <c r="E18" s="6" t="s">
        <v>82</v>
      </c>
      <c r="F18" s="6" t="str">
        <f aca="false">IF(ISNUMBER(E18),INDEX(Sheet1!$B:$B,MATCH(E18,Sheet1!$A:$A,0)),E18)</f>
        <v>근접</v>
      </c>
      <c r="G18" s="8" t="s">
        <v>10</v>
      </c>
      <c r="H18" s="8" t="s">
        <v>68</v>
      </c>
      <c r="I18" s="6" t="s">
        <v>83</v>
      </c>
      <c r="J18" s="10" t="n">
        <v>0.1</v>
      </c>
      <c r="K18" s="10" t="n">
        <v>0.2</v>
      </c>
      <c r="L18" s="10" t="n">
        <v>0.3</v>
      </c>
      <c r="M18" s="10" t="n">
        <v>0.4</v>
      </c>
      <c r="N18" s="10" t="n">
        <v>0.5</v>
      </c>
      <c r="O18" s="6" t="s">
        <v>84</v>
      </c>
    </row>
    <row r="19" customFormat="false" ht="15" hidden="false" customHeight="false" outlineLevel="0" collapsed="false">
      <c r="A19" s="6" t="n">
        <v>3009</v>
      </c>
      <c r="B19" s="6" t="s">
        <v>85</v>
      </c>
      <c r="C19" s="6" t="s">
        <v>59</v>
      </c>
      <c r="D19" s="6" t="s">
        <v>60</v>
      </c>
      <c r="E19" s="6" t="s">
        <v>61</v>
      </c>
      <c r="F19" s="6" t="str">
        <f aca="false">IF(ISNUMBER(E19),INDEX(Sheet1!$B:$B,MATCH(E19,Sheet1!$A:$A,0)),E19)</f>
        <v>전체</v>
      </c>
      <c r="G19" s="8" t="s">
        <v>11</v>
      </c>
      <c r="H19" s="8" t="s">
        <v>68</v>
      </c>
      <c r="I19" s="8" t="s">
        <v>63</v>
      </c>
      <c r="J19" s="9" t="n">
        <v>0.05</v>
      </c>
      <c r="K19" s="9" t="n">
        <v>0.1</v>
      </c>
      <c r="L19" s="9" t="n">
        <v>0.15</v>
      </c>
      <c r="M19" s="9" t="n">
        <v>0.2</v>
      </c>
      <c r="N19" s="9" t="n">
        <v>0.25</v>
      </c>
      <c r="O19" s="6" t="s">
        <v>86</v>
      </c>
    </row>
    <row r="20" customFormat="false" ht="15" hidden="false" customHeight="false" outlineLevel="0" collapsed="false">
      <c r="A20" s="6" t="n">
        <v>3010</v>
      </c>
      <c r="B20" s="6" t="s">
        <v>87</v>
      </c>
      <c r="C20" s="6" t="s">
        <v>59</v>
      </c>
      <c r="D20" s="6" t="s">
        <v>60</v>
      </c>
      <c r="E20" s="6" t="s">
        <v>61</v>
      </c>
      <c r="F20" s="6" t="str">
        <f aca="false">IF(ISNUMBER(E20),INDEX(Sheet1!$B:$B,MATCH(E20,Sheet1!$A:$A,0)),E20)</f>
        <v>전체</v>
      </c>
      <c r="G20" s="8" t="s">
        <v>12</v>
      </c>
      <c r="H20" s="8" t="s">
        <v>68</v>
      </c>
      <c r="I20" s="6" t="s">
        <v>88</v>
      </c>
      <c r="J20" s="10" t="n">
        <v>1</v>
      </c>
      <c r="K20" s="10" t="n">
        <v>1</v>
      </c>
      <c r="L20" s="10" t="n">
        <v>2</v>
      </c>
      <c r="M20" s="10" t="n">
        <v>2</v>
      </c>
      <c r="N20" s="10" t="n">
        <v>3</v>
      </c>
      <c r="O20" s="6" t="s">
        <v>89</v>
      </c>
    </row>
    <row r="21" customFormat="false" ht="15" hidden="false" customHeight="false" outlineLevel="0" collapsed="false">
      <c r="A21" s="6" t="n">
        <v>3011</v>
      </c>
      <c r="B21" s="6" t="s">
        <v>90</v>
      </c>
      <c r="C21" s="6" t="s">
        <v>59</v>
      </c>
      <c r="D21" s="6" t="s">
        <v>60</v>
      </c>
      <c r="E21" s="6" t="s">
        <v>61</v>
      </c>
      <c r="F21" s="6" t="str">
        <f aca="false">IF(ISNUMBER(E21),INDEX(Sheet1!$B:$B,MATCH(E21,Sheet1!$A:$A,0)),E21)</f>
        <v>전체</v>
      </c>
      <c r="G21" s="8" t="s">
        <v>13</v>
      </c>
      <c r="H21" s="8" t="s">
        <v>68</v>
      </c>
      <c r="I21" s="8" t="s">
        <v>63</v>
      </c>
      <c r="J21" s="9" t="n">
        <v>0.2</v>
      </c>
      <c r="K21" s="9" t="n">
        <v>0.4</v>
      </c>
      <c r="L21" s="9" t="n">
        <v>0.6</v>
      </c>
      <c r="M21" s="9" t="n">
        <v>0.8</v>
      </c>
      <c r="N21" s="9" t="n">
        <v>1</v>
      </c>
      <c r="O21" s="6" t="s">
        <v>91</v>
      </c>
    </row>
    <row r="22" customFormat="false" ht="15" hidden="false" customHeight="false" outlineLevel="0" collapsed="false">
      <c r="A22" s="6" t="n">
        <v>3012</v>
      </c>
      <c r="B22" s="6" t="s">
        <v>92</v>
      </c>
      <c r="C22" s="6" t="s">
        <v>59</v>
      </c>
      <c r="D22" s="6" t="s">
        <v>60</v>
      </c>
      <c r="E22" s="6" t="s">
        <v>61</v>
      </c>
      <c r="F22" s="6" t="str">
        <f aca="false">IF(ISNUMBER(E22),INDEX(Sheet1!$B:$B,MATCH(E22,Sheet1!$A:$A,0)),E22)</f>
        <v>전체</v>
      </c>
      <c r="G22" s="8" t="s">
        <v>14</v>
      </c>
      <c r="H22" s="8" t="s">
        <v>68</v>
      </c>
      <c r="I22" s="8" t="s">
        <v>63</v>
      </c>
      <c r="J22" s="9" t="n">
        <v>0.1</v>
      </c>
      <c r="K22" s="9" t="n">
        <v>0.2</v>
      </c>
      <c r="L22" s="9" t="n">
        <v>0.3</v>
      </c>
      <c r="M22" s="9" t="n">
        <v>0.4</v>
      </c>
      <c r="N22" s="9" t="n">
        <v>0.5</v>
      </c>
      <c r="O22" s="6" t="s">
        <v>93</v>
      </c>
    </row>
    <row r="23" customFormat="false" ht="15" hidden="false" customHeight="false" outlineLevel="0" collapsed="false">
      <c r="A23" s="6" t="n">
        <v>3013</v>
      </c>
      <c r="B23" s="6" t="s">
        <v>94</v>
      </c>
      <c r="C23" s="6" t="s">
        <v>59</v>
      </c>
      <c r="D23" s="6" t="s">
        <v>60</v>
      </c>
      <c r="E23" s="6" t="s">
        <v>61</v>
      </c>
      <c r="F23" s="6" t="str">
        <f aca="false">IF(ISNUMBER(E23),INDEX(Sheet1!$B:$B,MATCH(E23,Sheet1!$A:$A,0)),E23)</f>
        <v>전체</v>
      </c>
      <c r="G23" s="8" t="s">
        <v>15</v>
      </c>
      <c r="H23" s="8" t="s">
        <v>68</v>
      </c>
      <c r="I23" s="8" t="s">
        <v>63</v>
      </c>
      <c r="J23" s="9" t="n">
        <v>0.08</v>
      </c>
      <c r="K23" s="9" t="n">
        <v>0.16</v>
      </c>
      <c r="L23" s="9" t="n">
        <v>0.24</v>
      </c>
      <c r="M23" s="9" t="n">
        <v>0.32</v>
      </c>
      <c r="N23" s="9" t="n">
        <v>0.4</v>
      </c>
      <c r="O23" s="6" t="s">
        <v>95</v>
      </c>
    </row>
    <row r="24" customFormat="false" ht="15" hidden="false" customHeight="false" outlineLevel="0" collapsed="false">
      <c r="A24" s="6" t="n">
        <v>3014</v>
      </c>
      <c r="B24" s="6" t="s">
        <v>96</v>
      </c>
      <c r="C24" s="6" t="s">
        <v>59</v>
      </c>
      <c r="D24" s="6" t="s">
        <v>60</v>
      </c>
      <c r="E24" s="6" t="s">
        <v>61</v>
      </c>
      <c r="F24" s="6" t="str">
        <f aca="false">IF(ISNUMBER(E24),INDEX(Sheet1!$B:$B,MATCH(E24,Sheet1!$A:$A,0)),E24)</f>
        <v>전체</v>
      </c>
      <c r="G24" s="8" t="s">
        <v>16</v>
      </c>
      <c r="H24" s="8" t="s">
        <v>68</v>
      </c>
      <c r="I24" s="8" t="s">
        <v>63</v>
      </c>
      <c r="J24" s="9" t="n">
        <v>0.1</v>
      </c>
      <c r="K24" s="9" t="n">
        <v>0.2</v>
      </c>
      <c r="L24" s="9" t="n">
        <v>0.3</v>
      </c>
      <c r="M24" s="9" t="n">
        <v>0.4</v>
      </c>
      <c r="N24" s="9" t="n">
        <v>0.5</v>
      </c>
      <c r="O24" s="6" t="s">
        <v>97</v>
      </c>
    </row>
    <row r="25" customFormat="false" ht="15" hidden="false" customHeight="false" outlineLevel="0" collapsed="false">
      <c r="A25" s="6" t="n">
        <v>3015</v>
      </c>
      <c r="B25" s="6" t="s">
        <v>98</v>
      </c>
      <c r="C25" s="6" t="s">
        <v>59</v>
      </c>
      <c r="D25" s="6" t="s">
        <v>60</v>
      </c>
      <c r="E25" s="6" t="s">
        <v>61</v>
      </c>
      <c r="F25" s="6" t="str">
        <f aca="false">IF(ISNUMBER(E25),INDEX(Sheet1!$B:$B,MATCH(E25,Sheet1!$A:$A,0)),E25)</f>
        <v>전체</v>
      </c>
      <c r="G25" s="8" t="s">
        <v>17</v>
      </c>
      <c r="H25" s="8" t="s">
        <v>68</v>
      </c>
      <c r="I25" s="6" t="s">
        <v>99</v>
      </c>
      <c r="J25" s="10" t="n">
        <v>1</v>
      </c>
      <c r="K25" s="10" t="n">
        <v>2</v>
      </c>
      <c r="L25" s="10" t="n">
        <v>3</v>
      </c>
      <c r="M25" s="10" t="n">
        <v>4</v>
      </c>
      <c r="N25" s="10" t="n">
        <v>5</v>
      </c>
      <c r="O25" s="6" t="s">
        <v>100</v>
      </c>
    </row>
    <row r="26" customFormat="false" ht="15" hidden="false" customHeight="false" outlineLevel="0" collapsed="false">
      <c r="A26" s="6" t="n">
        <v>3016</v>
      </c>
      <c r="B26" s="6" t="s">
        <v>101</v>
      </c>
      <c r="C26" s="6" t="s">
        <v>59</v>
      </c>
      <c r="D26" s="6" t="s">
        <v>60</v>
      </c>
      <c r="E26" s="6" t="s">
        <v>61</v>
      </c>
      <c r="F26" s="6" t="str">
        <f aca="false">IF(ISNUMBER(E26),INDEX(Sheet1!$B:$B,MATCH(E26,Sheet1!$A:$A,0)),E26)</f>
        <v>전체</v>
      </c>
      <c r="G26" s="8" t="s">
        <v>19</v>
      </c>
      <c r="H26" s="8" t="s">
        <v>68</v>
      </c>
      <c r="I26" s="8" t="s">
        <v>63</v>
      </c>
      <c r="J26" s="9" t="n">
        <v>0.03</v>
      </c>
      <c r="K26" s="9" t="n">
        <v>0.06</v>
      </c>
      <c r="L26" s="9" t="n">
        <v>0.09</v>
      </c>
      <c r="M26" s="9" t="n">
        <v>0.12</v>
      </c>
      <c r="N26" s="9" t="n">
        <v>0.15</v>
      </c>
      <c r="O26" s="6" t="s">
        <v>102</v>
      </c>
    </row>
    <row r="27" customFormat="false" ht="15" hidden="false" customHeight="false" outlineLevel="0" collapsed="false">
      <c r="A27" s="6" t="n">
        <v>3017</v>
      </c>
      <c r="B27" s="6" t="s">
        <v>103</v>
      </c>
      <c r="C27" s="6" t="s">
        <v>59</v>
      </c>
      <c r="D27" s="6" t="s">
        <v>60</v>
      </c>
      <c r="E27" s="6" t="s">
        <v>61</v>
      </c>
      <c r="F27" s="6" t="str">
        <f aca="false">IF(ISNUMBER(E27),INDEX(Sheet1!$B:$B,MATCH(E27,Sheet1!$A:$A,0)),E27)</f>
        <v>전체</v>
      </c>
      <c r="G27" s="8" t="s">
        <v>20</v>
      </c>
      <c r="H27" s="8" t="s">
        <v>68</v>
      </c>
      <c r="I27" s="8" t="s">
        <v>63</v>
      </c>
      <c r="J27" s="9" t="n">
        <v>0.1</v>
      </c>
      <c r="K27" s="9" t="n">
        <v>0.2</v>
      </c>
      <c r="L27" s="9" t="n">
        <v>0.3</v>
      </c>
      <c r="M27" s="9" t="n">
        <v>0.4</v>
      </c>
      <c r="N27" s="9" t="n">
        <v>0.5</v>
      </c>
      <c r="O27" s="6" t="s">
        <v>104</v>
      </c>
    </row>
    <row r="28" customFormat="false" ht="15" hidden="false" customHeight="false" outlineLevel="0" collapsed="false">
      <c r="A28" s="6" t="n">
        <v>10011</v>
      </c>
      <c r="B28" s="6" t="s">
        <v>105</v>
      </c>
      <c r="C28" s="6" t="s">
        <v>106</v>
      </c>
      <c r="D28" s="6" t="s">
        <v>60</v>
      </c>
      <c r="E28" s="6" t="n">
        <v>1001</v>
      </c>
      <c r="F28" s="6" t="str">
        <f aca="false">IF(ISNUMBER(E28),INDEX(Sheet1!$B:$B,MATCH(E28,Sheet1!$A:$A,0)),E28)</f>
        <v>하영</v>
      </c>
      <c r="G28" s="8" t="s">
        <v>18</v>
      </c>
      <c r="H28" s="8" t="s">
        <v>68</v>
      </c>
      <c r="I28" s="8" t="s">
        <v>63</v>
      </c>
      <c r="J28" s="9" t="n">
        <v>0.1</v>
      </c>
      <c r="K28" s="9" t="n">
        <v>0.2</v>
      </c>
      <c r="L28" s="9" t="n">
        <v>0.3</v>
      </c>
      <c r="M28" s="9" t="n">
        <v>0.4</v>
      </c>
      <c r="N28" s="9" t="n">
        <v>0.5</v>
      </c>
      <c r="O28" s="6" t="s">
        <v>107</v>
      </c>
    </row>
    <row r="29" customFormat="false" ht="15" hidden="false" customHeight="false" outlineLevel="0" collapsed="false">
      <c r="A29" s="6" t="n">
        <v>10012</v>
      </c>
      <c r="B29" s="6" t="s">
        <v>108</v>
      </c>
      <c r="C29" s="6" t="s">
        <v>106</v>
      </c>
      <c r="D29" s="6" t="s">
        <v>60</v>
      </c>
      <c r="E29" s="6" t="n">
        <v>1001</v>
      </c>
      <c r="F29" s="6" t="str">
        <f aca="false">IF(ISNUMBER(E29),INDEX(Sheet1!$B:$B,MATCH(E29,Sheet1!$A:$A,0)),E29)</f>
        <v>하영</v>
      </c>
      <c r="G29" s="8" t="s">
        <v>18</v>
      </c>
      <c r="H29" s="8" t="s">
        <v>68</v>
      </c>
      <c r="I29" s="8" t="s">
        <v>63</v>
      </c>
      <c r="J29" s="9" t="n">
        <v>0.5</v>
      </c>
      <c r="K29" s="9" t="n">
        <v>0.65</v>
      </c>
      <c r="L29" s="9" t="n">
        <v>0.8</v>
      </c>
      <c r="M29" s="9" t="n">
        <v>0.95</v>
      </c>
      <c r="N29" s="9" t="n">
        <v>1.1</v>
      </c>
      <c r="O29" s="6" t="s">
        <v>109</v>
      </c>
    </row>
    <row r="30" customFormat="false" ht="15" hidden="false" customHeight="false" outlineLevel="0" collapsed="false">
      <c r="A30" s="6" t="n">
        <v>10021</v>
      </c>
      <c r="B30" s="6" t="s">
        <v>110</v>
      </c>
      <c r="C30" s="6" t="s">
        <v>106</v>
      </c>
      <c r="D30" s="6" t="s">
        <v>60</v>
      </c>
      <c r="E30" s="6" t="n">
        <v>1002</v>
      </c>
      <c r="F30" s="6" t="str">
        <f aca="false">IF(ISNUMBER(E30),INDEX(Sheet1!$B:$B,MATCH(E30,Sheet1!$A:$A,0)),E30)</f>
        <v>한주원</v>
      </c>
      <c r="G30" s="8" t="s">
        <v>18</v>
      </c>
      <c r="H30" s="8" t="s">
        <v>68</v>
      </c>
      <c r="I30" s="6" t="s">
        <v>111</v>
      </c>
      <c r="J30" s="10" t="n">
        <v>1</v>
      </c>
      <c r="K30" s="10" t="n">
        <v>2</v>
      </c>
      <c r="L30" s="10" t="n">
        <v>3</v>
      </c>
      <c r="M30" s="10" t="n">
        <v>4</v>
      </c>
      <c r="N30" s="10" t="n">
        <v>5</v>
      </c>
      <c r="O30" s="6" t="s">
        <v>112</v>
      </c>
    </row>
    <row r="31" customFormat="false" ht="15" hidden="false" customHeight="false" outlineLevel="0" collapsed="false">
      <c r="A31" s="6" t="n">
        <v>10022</v>
      </c>
      <c r="B31" s="6" t="s">
        <v>113</v>
      </c>
      <c r="C31" s="6" t="s">
        <v>106</v>
      </c>
      <c r="D31" s="6" t="s">
        <v>60</v>
      </c>
      <c r="E31" s="6" t="n">
        <v>1002</v>
      </c>
      <c r="F31" s="6" t="str">
        <f aca="false">IF(ISNUMBER(E31),INDEX(Sheet1!$B:$B,MATCH(E31,Sheet1!$A:$A,0)),E31)</f>
        <v>한주원</v>
      </c>
      <c r="G31" s="8" t="s">
        <v>18</v>
      </c>
      <c r="H31" s="8" t="s">
        <v>68</v>
      </c>
      <c r="I31" s="8" t="s">
        <v>63</v>
      </c>
      <c r="J31" s="9" t="n">
        <v>0.1</v>
      </c>
      <c r="K31" s="9" t="n">
        <v>0.15</v>
      </c>
      <c r="L31" s="9" t="n">
        <v>0.2</v>
      </c>
      <c r="M31" s="9" t="n">
        <v>0.25</v>
      </c>
      <c r="N31" s="9" t="n">
        <v>0.3</v>
      </c>
      <c r="O31" s="6" t="s">
        <v>114</v>
      </c>
    </row>
    <row r="32" customFormat="false" ht="15" hidden="false" customHeight="false" outlineLevel="0" collapsed="false">
      <c r="A32" s="6" t="n">
        <v>10031</v>
      </c>
      <c r="B32" s="6" t="s">
        <v>115</v>
      </c>
      <c r="C32" s="6" t="s">
        <v>106</v>
      </c>
      <c r="D32" s="6" t="s">
        <v>60</v>
      </c>
      <c r="E32" s="6" t="n">
        <v>1003</v>
      </c>
      <c r="F32" s="6" t="str">
        <f aca="false">IF(ISNUMBER(E32),INDEX(Sheet1!$B:$B,MATCH(E32,Sheet1!$A:$A,0)),E32)</f>
        <v>박규혁</v>
      </c>
      <c r="G32" s="8" t="s">
        <v>18</v>
      </c>
      <c r="H32" s="8" t="s">
        <v>68</v>
      </c>
      <c r="I32" s="6" t="s">
        <v>111</v>
      </c>
      <c r="J32" s="10" t="n">
        <v>1</v>
      </c>
      <c r="K32" s="10" t="n">
        <v>2</v>
      </c>
      <c r="L32" s="10" t="n">
        <v>3</v>
      </c>
      <c r="M32" s="10" t="n">
        <v>4</v>
      </c>
      <c r="N32" s="10" t="n">
        <v>5</v>
      </c>
      <c r="O32" s="6" t="s">
        <v>116</v>
      </c>
    </row>
    <row r="33" customFormat="false" ht="15" hidden="false" customHeight="false" outlineLevel="0" collapsed="false">
      <c r="A33" s="6" t="n">
        <v>10032</v>
      </c>
      <c r="B33" s="6" t="s">
        <v>117</v>
      </c>
      <c r="C33" s="6" t="s">
        <v>106</v>
      </c>
      <c r="D33" s="6" t="s">
        <v>60</v>
      </c>
      <c r="E33" s="6" t="n">
        <v>1003</v>
      </c>
      <c r="F33" s="6" t="str">
        <f aca="false">IF(ISNUMBER(E33),INDEX(Sheet1!$B:$B,MATCH(E33,Sheet1!$A:$A,0)),E33)</f>
        <v>박규혁</v>
      </c>
      <c r="G33" s="8" t="s">
        <v>18</v>
      </c>
      <c r="H33" s="8" t="s">
        <v>68</v>
      </c>
      <c r="I33" s="8" t="s">
        <v>63</v>
      </c>
      <c r="J33" s="9" t="n">
        <v>0.1</v>
      </c>
      <c r="K33" s="9" t="n">
        <v>0.2</v>
      </c>
      <c r="L33" s="9" t="n">
        <v>0.3</v>
      </c>
      <c r="M33" s="9" t="n">
        <v>0.4</v>
      </c>
      <c r="N33" s="9" t="n">
        <v>0.5</v>
      </c>
      <c r="O33" s="6" t="s">
        <v>118</v>
      </c>
    </row>
    <row r="34" customFormat="false" ht="15" hidden="false" customHeight="false" outlineLevel="0" collapsed="false">
      <c r="A34" s="6" t="n">
        <v>10041</v>
      </c>
      <c r="B34" s="6" t="s">
        <v>119</v>
      </c>
      <c r="C34" s="6" t="s">
        <v>106</v>
      </c>
      <c r="D34" s="6" t="s">
        <v>60</v>
      </c>
      <c r="E34" s="6" t="n">
        <v>1004</v>
      </c>
      <c r="F34" s="6" t="str">
        <f aca="false">IF(ISNUMBER(E34),INDEX(Sheet1!$B:$B,MATCH(E34,Sheet1!$A:$A,0)),E34)</f>
        <v>이아라</v>
      </c>
      <c r="G34" s="8" t="s">
        <v>18</v>
      </c>
      <c r="H34" s="8" t="s">
        <v>68</v>
      </c>
      <c r="I34" s="8" t="s">
        <v>63</v>
      </c>
      <c r="J34" s="9" t="n">
        <v>0.5</v>
      </c>
      <c r="K34" s="9" t="n">
        <v>0.6</v>
      </c>
      <c r="L34" s="9" t="n">
        <v>0.7</v>
      </c>
      <c r="M34" s="9" t="n">
        <v>0.8</v>
      </c>
      <c r="N34" s="9" t="n">
        <v>1</v>
      </c>
      <c r="O34" s="6" t="s">
        <v>120</v>
      </c>
    </row>
    <row r="35" customFormat="false" ht="15" hidden="false" customHeight="false" outlineLevel="0" collapsed="false">
      <c r="A35" s="6" t="n">
        <v>10042</v>
      </c>
      <c r="B35" s="6" t="s">
        <v>121</v>
      </c>
      <c r="C35" s="6" t="s">
        <v>106</v>
      </c>
      <c r="D35" s="6" t="s">
        <v>60</v>
      </c>
      <c r="E35" s="6" t="n">
        <v>1004</v>
      </c>
      <c r="F35" s="6" t="str">
        <f aca="false">IF(ISNUMBER(E35),INDEX(Sheet1!$B:$B,MATCH(E35,Sheet1!$A:$A,0)),E35)</f>
        <v>이아라</v>
      </c>
      <c r="G35" s="8" t="s">
        <v>19</v>
      </c>
      <c r="H35" s="8" t="s">
        <v>68</v>
      </c>
      <c r="I35" s="8" t="s">
        <v>63</v>
      </c>
      <c r="J35" s="9" t="n">
        <v>0.04</v>
      </c>
      <c r="K35" s="9" t="n">
        <v>0.08</v>
      </c>
      <c r="L35" s="9" t="n">
        <v>0.12</v>
      </c>
      <c r="M35" s="9" t="n">
        <v>0.16</v>
      </c>
      <c r="N35" s="9" t="n">
        <v>0.2</v>
      </c>
      <c r="O35" s="6" t="s">
        <v>122</v>
      </c>
    </row>
    <row r="36" customFormat="false" ht="15" hidden="false" customHeight="false" outlineLevel="0" collapsed="false">
      <c r="A36" s="6" t="n">
        <v>10051</v>
      </c>
      <c r="B36" s="6" t="s">
        <v>123</v>
      </c>
      <c r="C36" s="6" t="s">
        <v>106</v>
      </c>
      <c r="D36" s="6" t="s">
        <v>60</v>
      </c>
      <c r="E36" s="6" t="n">
        <v>1005</v>
      </c>
      <c r="F36" s="6" t="str">
        <f aca="false">IF(ISNUMBER(E36),INDEX(Sheet1!$B:$B,MATCH(E36,Sheet1!$A:$A,0)),E36)</f>
        <v>최환조</v>
      </c>
      <c r="G36" s="8" t="s">
        <v>18</v>
      </c>
      <c r="H36" s="8" t="s">
        <v>68</v>
      </c>
      <c r="I36" s="6" t="s">
        <v>111</v>
      </c>
      <c r="J36" s="10" t="n">
        <v>1</v>
      </c>
      <c r="K36" s="10" t="n">
        <v>2</v>
      </c>
      <c r="L36" s="10" t="n">
        <v>3</v>
      </c>
      <c r="M36" s="10" t="n">
        <v>4</v>
      </c>
      <c r="N36" s="10" t="n">
        <v>5</v>
      </c>
      <c r="O36" s="6" t="s">
        <v>124</v>
      </c>
    </row>
    <row r="37" customFormat="false" ht="15" hidden="false" customHeight="false" outlineLevel="0" collapsed="false">
      <c r="A37" s="6" t="n">
        <v>10052</v>
      </c>
      <c r="B37" s="6" t="s">
        <v>125</v>
      </c>
      <c r="C37" s="6" t="s">
        <v>106</v>
      </c>
      <c r="D37" s="6" t="s">
        <v>60</v>
      </c>
      <c r="E37" s="6" t="n">
        <v>1005</v>
      </c>
      <c r="F37" s="6" t="str">
        <f aca="false">IF(ISNUMBER(E37),INDEX(Sheet1!$B:$B,MATCH(E37,Sheet1!$A:$A,0)),E37)</f>
        <v>최환조</v>
      </c>
      <c r="G37" s="8" t="s">
        <v>18</v>
      </c>
      <c r="H37" s="8" t="s">
        <v>68</v>
      </c>
      <c r="I37" s="8" t="s">
        <v>63</v>
      </c>
      <c r="J37" s="9" t="n">
        <v>0.1</v>
      </c>
      <c r="K37" s="9" t="n">
        <v>0.2</v>
      </c>
      <c r="L37" s="9" t="n">
        <v>0.3</v>
      </c>
      <c r="M37" s="9" t="n">
        <v>0.4</v>
      </c>
      <c r="N37" s="9" t="n">
        <v>0.5</v>
      </c>
      <c r="O37" s="6" t="s">
        <v>126</v>
      </c>
    </row>
    <row r="38" customFormat="false" ht="15" hidden="false" customHeight="false" outlineLevel="0" collapsed="false">
      <c r="A38" s="6" t="n">
        <v>10061</v>
      </c>
      <c r="B38" s="6" t="s">
        <v>127</v>
      </c>
      <c r="C38" s="6" t="s">
        <v>106</v>
      </c>
      <c r="D38" s="6" t="s">
        <v>60</v>
      </c>
      <c r="E38" s="6" t="n">
        <v>1006</v>
      </c>
      <c r="F38" s="6" t="str">
        <f aca="false">IF(ISNUMBER(E38),INDEX(Sheet1!$B:$B,MATCH(E38,Sheet1!$A:$A,0)),E38)</f>
        <v>신지현</v>
      </c>
      <c r="G38" s="8" t="s">
        <v>18</v>
      </c>
      <c r="H38" s="8" t="s">
        <v>68</v>
      </c>
      <c r="I38" s="8" t="s">
        <v>63</v>
      </c>
      <c r="J38" s="9" t="n">
        <v>0.1</v>
      </c>
      <c r="K38" s="9" t="n">
        <v>0.2</v>
      </c>
      <c r="L38" s="9" t="n">
        <v>0.3</v>
      </c>
      <c r="M38" s="9" t="n">
        <v>0.4</v>
      </c>
      <c r="N38" s="9" t="n">
        <v>0.5</v>
      </c>
      <c r="O38" s="6" t="s">
        <v>128</v>
      </c>
    </row>
    <row r="39" customFormat="false" ht="15" hidden="false" customHeight="false" outlineLevel="0" collapsed="false">
      <c r="A39" s="6" t="n">
        <v>10062</v>
      </c>
      <c r="B39" s="6" t="s">
        <v>129</v>
      </c>
      <c r="C39" s="6" t="s">
        <v>106</v>
      </c>
      <c r="D39" s="6" t="s">
        <v>60</v>
      </c>
      <c r="E39" s="6" t="n">
        <v>1006</v>
      </c>
      <c r="F39" s="6" t="str">
        <f aca="false">IF(ISNUMBER(E39),INDEX(Sheet1!$B:$B,MATCH(E39,Sheet1!$A:$A,0)),E39)</f>
        <v>신지현</v>
      </c>
      <c r="G39" s="8" t="s">
        <v>18</v>
      </c>
      <c r="H39" s="8" t="s">
        <v>68</v>
      </c>
      <c r="I39" s="8" t="s">
        <v>63</v>
      </c>
      <c r="J39" s="9" t="n">
        <v>1</v>
      </c>
      <c r="K39" s="9" t="n">
        <v>1.2</v>
      </c>
      <c r="L39" s="9" t="n">
        <v>1.4</v>
      </c>
      <c r="M39" s="9" t="n">
        <v>1.6</v>
      </c>
      <c r="N39" s="9" t="n">
        <v>2</v>
      </c>
      <c r="O39" s="8" t="s">
        <v>130</v>
      </c>
    </row>
    <row r="40" customFormat="false" ht="15" hidden="false" customHeight="false" outlineLevel="0" collapsed="false">
      <c r="A40" s="6" t="n">
        <v>10071</v>
      </c>
      <c r="B40" s="6" t="s">
        <v>131</v>
      </c>
      <c r="C40" s="6" t="s">
        <v>106</v>
      </c>
      <c r="D40" s="6" t="s">
        <v>60</v>
      </c>
      <c r="E40" s="6" t="n">
        <v>1007</v>
      </c>
      <c r="F40" s="6" t="str">
        <f aca="false">IF(ISNUMBER(E40),INDEX(Sheet1!$B:$B,MATCH(E40,Sheet1!$A:$A,0)),E40)</f>
        <v>임훈</v>
      </c>
      <c r="G40" s="8" t="s">
        <v>10</v>
      </c>
      <c r="H40" s="8" t="s">
        <v>68</v>
      </c>
      <c r="I40" s="6" t="s">
        <v>83</v>
      </c>
      <c r="J40" s="10" t="n">
        <v>0.1</v>
      </c>
      <c r="K40" s="10" t="n">
        <v>0.2</v>
      </c>
      <c r="L40" s="10" t="n">
        <v>0.3</v>
      </c>
      <c r="M40" s="10" t="n">
        <v>0.4</v>
      </c>
      <c r="N40" s="10" t="n">
        <v>0.5</v>
      </c>
      <c r="O40" s="6" t="s">
        <v>132</v>
      </c>
    </row>
    <row r="41" customFormat="false" ht="15" hidden="false" customHeight="false" outlineLevel="0" collapsed="false">
      <c r="A41" s="6" t="n">
        <v>10072</v>
      </c>
      <c r="B41" s="6" t="s">
        <v>133</v>
      </c>
      <c r="C41" s="6" t="s">
        <v>106</v>
      </c>
      <c r="D41" s="6" t="s">
        <v>60</v>
      </c>
      <c r="E41" s="6" t="n">
        <v>1007</v>
      </c>
      <c r="F41" s="6" t="str">
        <f aca="false">IF(ISNUMBER(E41),INDEX(Sheet1!$B:$B,MATCH(E41,Sheet1!$A:$A,0)),E41)</f>
        <v>임훈</v>
      </c>
      <c r="G41" s="8" t="s">
        <v>18</v>
      </c>
      <c r="H41" s="8" t="s">
        <v>68</v>
      </c>
      <c r="I41" s="6" t="s">
        <v>111</v>
      </c>
      <c r="J41" s="10" t="n">
        <v>1</v>
      </c>
      <c r="K41" s="10" t="n">
        <v>2</v>
      </c>
      <c r="L41" s="10" t="n">
        <v>3</v>
      </c>
      <c r="M41" s="10" t="n">
        <v>4</v>
      </c>
      <c r="N41" s="10" t="n">
        <v>5</v>
      </c>
      <c r="O41" s="6" t="s">
        <v>134</v>
      </c>
    </row>
    <row r="42" customFormat="false" ht="15" hidden="false" customHeight="false" outlineLevel="0" collapsed="false">
      <c r="A42" s="6" t="n">
        <v>10081</v>
      </c>
      <c r="B42" s="6" t="s">
        <v>135</v>
      </c>
      <c r="C42" s="6" t="s">
        <v>106</v>
      </c>
      <c r="D42" s="6" t="s">
        <v>60</v>
      </c>
      <c r="E42" s="6" t="n">
        <v>1008</v>
      </c>
      <c r="F42" s="6" t="str">
        <f aca="false">IF(ISNUMBER(E42),INDEX(Sheet1!$B:$B,MATCH(E42,Sheet1!$A:$A,0)),E42)</f>
        <v>심여레</v>
      </c>
      <c r="G42" s="8" t="s">
        <v>18</v>
      </c>
      <c r="H42" s="8" t="s">
        <v>68</v>
      </c>
      <c r="I42" s="8" t="s">
        <v>63</v>
      </c>
      <c r="J42" s="9" t="n">
        <v>0.1</v>
      </c>
      <c r="K42" s="9" t="n">
        <v>0.2</v>
      </c>
      <c r="L42" s="9" t="n">
        <v>0.3</v>
      </c>
      <c r="M42" s="9" t="n">
        <v>0.4</v>
      </c>
      <c r="N42" s="9" t="n">
        <v>0.5</v>
      </c>
      <c r="O42" s="6" t="s">
        <v>136</v>
      </c>
    </row>
    <row r="43" customFormat="false" ht="15" hidden="false" customHeight="false" outlineLevel="0" collapsed="false">
      <c r="A43" s="6" t="n">
        <v>10082</v>
      </c>
      <c r="B43" s="6" t="s">
        <v>137</v>
      </c>
      <c r="C43" s="6" t="s">
        <v>106</v>
      </c>
      <c r="D43" s="6" t="s">
        <v>60</v>
      </c>
      <c r="E43" s="6" t="n">
        <v>1008</v>
      </c>
      <c r="F43" s="6" t="str">
        <f aca="false">IF(ISNUMBER(E43),INDEX(Sheet1!$B:$B,MATCH(E43,Sheet1!$A:$A,0)),E43)</f>
        <v>심여레</v>
      </c>
      <c r="G43" s="8" t="s">
        <v>18</v>
      </c>
      <c r="H43" s="8" t="s">
        <v>68</v>
      </c>
      <c r="I43" s="8" t="s">
        <v>63</v>
      </c>
      <c r="J43" s="9" t="n">
        <v>0.2</v>
      </c>
      <c r="K43" s="9" t="n">
        <v>0.4</v>
      </c>
      <c r="L43" s="9" t="n">
        <v>0.6</v>
      </c>
      <c r="M43" s="9" t="n">
        <v>0.8</v>
      </c>
      <c r="N43" s="9" t="n">
        <v>1</v>
      </c>
      <c r="O43" s="6" t="s">
        <v>138</v>
      </c>
    </row>
    <row r="45" customFormat="false" ht="15" hidden="false" customHeight="false" outlineLevel="0" collapsed="false">
      <c r="A45" s="11" t="s">
        <v>139</v>
      </c>
    </row>
    <row r="46" customFormat="false" ht="15" hidden="false" customHeight="false" outlineLevel="0" collapsed="false">
      <c r="A46" s="12" t="s">
        <v>140</v>
      </c>
    </row>
    <row r="47" customFormat="false" ht="15" hidden="false" customHeight="false" outlineLevel="0" collapsed="false">
      <c r="A47" s="12" t="s">
        <v>141</v>
      </c>
    </row>
    <row r="48" customFormat="false" ht="15" hidden="false" customHeight="false" outlineLevel="0" collapsed="false">
      <c r="A48" s="12" t="s">
        <v>142</v>
      </c>
    </row>
    <row r="49" customFormat="false" ht="15" hidden="false" customHeight="false" outlineLevel="0" collapsed="false">
      <c r="A49" s="12" t="s">
        <v>143</v>
      </c>
    </row>
    <row r="50" customFormat="false" ht="15" hidden="false" customHeight="false" outlineLevel="0" collapsed="false">
      <c r="A50" s="12" t="s">
        <v>144</v>
      </c>
    </row>
    <row r="51" customFormat="false" ht="15" hidden="false" customHeight="false" outlineLevel="0" collapsed="false">
      <c r="A51" s="12" t="s">
        <v>145</v>
      </c>
    </row>
    <row r="52" customFormat="false" ht="15" hidden="false" customHeight="false" outlineLevel="0" collapsed="false">
      <c r="A52" s="12" t="s">
        <v>146</v>
      </c>
    </row>
    <row r="53" customFormat="false" ht="15" hidden="false" customHeight="false" outlineLevel="0" collapsed="false">
      <c r="A53" s="13" t="s">
        <v>147</v>
      </c>
    </row>
  </sheetData>
  <dataValidations count="3">
    <dataValidation allowBlank="false" errorStyle="stop" operator="between" showDropDown="false" showErrorMessage="false" showInputMessage="false" sqref="G11:G63" type="list">
      <formula1>Sheet1!$D$1:$U$1</formula1>
      <formula2>0</formula2>
    </dataValidation>
    <dataValidation allowBlank="false" errorStyle="stop" operator="between" showDropDown="false" showErrorMessage="false" showInputMessage="false" sqref="H11:H63" type="list">
      <formula1>"Add,Mul"</formula1>
      <formula2>0</formula2>
    </dataValidation>
    <dataValidation allowBlank="false" errorStyle="stop" operator="between" showDropDown="false" showErrorMessage="false" showInputMessage="false" sqref="D11:D63" type="list">
      <formula1>"영구,일회용"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Yeon504-29</dc:creator>
  <dc:description/>
  <dc:language>en-US</dc:language>
  <cp:lastModifiedBy>연02</cp:lastModifiedBy>
  <dcterms:modified xsi:type="dcterms:W3CDTF">2026-10-12T17:51:11Z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